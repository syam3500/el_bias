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k\Documents\Master\99_Master_thesis\3_Work\processed_data\"/>
    </mc:Choice>
  </mc:AlternateContent>
  <xr:revisionPtr revIDLastSave="0" documentId="13_ncr:1_{0C0139F3-5F26-4D1E-A1F4-CCE9BC4578AF}" xr6:coauthVersionLast="47" xr6:coauthVersionMax="47" xr10:uidLastSave="{00000000-0000-0000-0000-000000000000}"/>
  <bookViews>
    <workbookView xWindow="11415" yWindow="3240" windowWidth="18060" windowHeight="15345" xr2:uid="{1D51F18B-35EA-4764-A81C-9DB7DCE3F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</calcChain>
</file>

<file path=xl/sharedStrings.xml><?xml version="1.0" encoding="utf-8"?>
<sst xmlns="http://schemas.openxmlformats.org/spreadsheetml/2006/main" count="198" uniqueCount="196">
  <si>
    <t>Octane</t>
  </si>
  <si>
    <t>1-Octene</t>
  </si>
  <si>
    <t>2-Hexanone</t>
  </si>
  <si>
    <t>Hexanal</t>
  </si>
  <si>
    <t>Butyl Acetate</t>
  </si>
  <si>
    <t>Nonane</t>
  </si>
  <si>
    <t>1-Nonene</t>
  </si>
  <si>
    <t>2-Heptanone</t>
  </si>
  <si>
    <t>Decane</t>
  </si>
  <si>
    <t>1-Decene</t>
  </si>
  <si>
    <t>Cyclohexanone</t>
  </si>
  <si>
    <t>2-Octanone</t>
  </si>
  <si>
    <t>Octanal</t>
  </si>
  <si>
    <t>n-Hexyl Acetate</t>
  </si>
  <si>
    <t>n-Undecane</t>
  </si>
  <si>
    <t>Benzaldehyde</t>
  </si>
  <si>
    <t>1-Undecene</t>
  </si>
  <si>
    <t>2-Nonanone</t>
  </si>
  <si>
    <t>Nonanal</t>
  </si>
  <si>
    <t>Dodecane</t>
  </si>
  <si>
    <t>1-Dodecene</t>
  </si>
  <si>
    <t>2-Decanone</t>
  </si>
  <si>
    <t>Nonanol</t>
  </si>
  <si>
    <t>Octyl Acetate</t>
  </si>
  <si>
    <t>Decanal</t>
  </si>
  <si>
    <t>Tridecane</t>
  </si>
  <si>
    <t>1-Tridecene</t>
  </si>
  <si>
    <t>Naphthalene</t>
  </si>
  <si>
    <t>Benzoic Acid</t>
  </si>
  <si>
    <t>2-Undecanone</t>
  </si>
  <si>
    <t>n-Tetradecane</t>
  </si>
  <si>
    <t>1-Tetradecene</t>
  </si>
  <si>
    <t>Benothiazole</t>
  </si>
  <si>
    <t>2-methylnaphthalene</t>
  </si>
  <si>
    <t>1-methylnaphthalene</t>
  </si>
  <si>
    <t>2-Dodecanone</t>
  </si>
  <si>
    <t>n-Decyl Acetate</t>
  </si>
  <si>
    <t>OMCTS</t>
  </si>
  <si>
    <t>PMH</t>
  </si>
  <si>
    <t>Styrene</t>
  </si>
  <si>
    <t>DMCPS</t>
  </si>
  <si>
    <t>Acetophenone</t>
  </si>
  <si>
    <t>1,3-DTBB</t>
  </si>
  <si>
    <t>N,N-DBF</t>
  </si>
  <si>
    <t>1-dodecanol</t>
  </si>
  <si>
    <t>2-Tridecanone</t>
  </si>
  <si>
    <t>n-Hexadecane</t>
  </si>
  <si>
    <t>1-Hexadecene</t>
  </si>
  <si>
    <t>Acenaphthylene</t>
  </si>
  <si>
    <t>1,3-diacetylbenzene</t>
  </si>
  <si>
    <t>n-Dodecyl Acetate</t>
  </si>
  <si>
    <t>2-Tetradecanone</t>
  </si>
  <si>
    <t>Acenaphthene</t>
  </si>
  <si>
    <t>n-Heptadecane</t>
  </si>
  <si>
    <t>2-Pentadecanone</t>
  </si>
  <si>
    <t>n-Octadecane</t>
  </si>
  <si>
    <t>Fluorene</t>
  </si>
  <si>
    <t>Benzophenone</t>
  </si>
  <si>
    <t>n-Nonadecane</t>
  </si>
  <si>
    <t>n-Eicosane</t>
  </si>
  <si>
    <t>Phenanthrene</t>
  </si>
  <si>
    <t>Anthracene</t>
  </si>
  <si>
    <t>Dibutyl Phthalate</t>
  </si>
  <si>
    <t>n-Docosane</t>
  </si>
  <si>
    <t>Fluoranthene</t>
  </si>
  <si>
    <t>n-Tetracosane</t>
  </si>
  <si>
    <t>Pyrene</t>
  </si>
  <si>
    <t>n-Hexacosane</t>
  </si>
  <si>
    <t>Antioxiant 2246</t>
  </si>
  <si>
    <t>n-Octacosane</t>
  </si>
  <si>
    <t>Benz[a]anthracene</t>
  </si>
  <si>
    <t>Dodecanal</t>
  </si>
  <si>
    <t>n-Pentadecane</t>
  </si>
  <si>
    <t>1-Pentadecene</t>
  </si>
  <si>
    <t>2-BEA</t>
  </si>
  <si>
    <t>2,6-DTBBQ</t>
  </si>
  <si>
    <t>Phthalide</t>
  </si>
  <si>
    <t>BHT</t>
  </si>
  <si>
    <t>2,4-DTBP</t>
  </si>
  <si>
    <t>Ethyl-4-EB</t>
  </si>
  <si>
    <t>Irgacure 184</t>
  </si>
  <si>
    <t>N-EPTS</t>
  </si>
  <si>
    <t>7,9-DTBO</t>
  </si>
  <si>
    <t>Irgacure 651</t>
  </si>
  <si>
    <t>M2BB</t>
  </si>
  <si>
    <t>B2EHF</t>
  </si>
  <si>
    <t>B2EHA</t>
  </si>
  <si>
    <t>B2EHP</t>
  </si>
  <si>
    <t>Tinuvin 326</t>
  </si>
  <si>
    <t>Chrysene</t>
  </si>
  <si>
    <t>n-Triacontane</t>
  </si>
  <si>
    <t>Benzo[b]fluoranthene</t>
  </si>
  <si>
    <t>Benzo[k]fluoranthene</t>
  </si>
  <si>
    <t>Benzo[a]pyrene</t>
  </si>
  <si>
    <t>Irgafos 168</t>
  </si>
  <si>
    <t>Irganox 1076</t>
  </si>
  <si>
    <t>Benzo(ghi)perylene</t>
  </si>
  <si>
    <t>111-65-9</t>
  </si>
  <si>
    <t>111-66-0</t>
  </si>
  <si>
    <t>591-78-6</t>
  </si>
  <si>
    <t>66-25-1</t>
  </si>
  <si>
    <t>123-86-4</t>
  </si>
  <si>
    <t>111-84-2</t>
  </si>
  <si>
    <t>124-11-8</t>
  </si>
  <si>
    <t>110-43-0</t>
  </si>
  <si>
    <t>124-18-5</t>
  </si>
  <si>
    <t>872-05-9</t>
  </si>
  <si>
    <t>108-94-1</t>
  </si>
  <si>
    <t>111-13-7</t>
  </si>
  <si>
    <t>124-13-0</t>
  </si>
  <si>
    <t>142-92-7</t>
  </si>
  <si>
    <t>1120-21-4</t>
  </si>
  <si>
    <t>100-52-7</t>
  </si>
  <si>
    <t>821-95-4</t>
  </si>
  <si>
    <t>821-55-6</t>
  </si>
  <si>
    <t>124-19-6</t>
  </si>
  <si>
    <t>112-40-3</t>
  </si>
  <si>
    <t>112-41-4</t>
  </si>
  <si>
    <t>6175-49-1</t>
  </si>
  <si>
    <t>112-31-2</t>
  </si>
  <si>
    <t>629-50-5</t>
  </si>
  <si>
    <t>2437-56-1</t>
  </si>
  <si>
    <t>91-20-3</t>
  </si>
  <si>
    <t>65-85-0</t>
  </si>
  <si>
    <t>112-12-9</t>
  </si>
  <si>
    <t>629-59-4</t>
  </si>
  <si>
    <t>95-16-9</t>
  </si>
  <si>
    <t>91-57-6</t>
  </si>
  <si>
    <t>90-12-0</t>
  </si>
  <si>
    <t>112-54-9</t>
  </si>
  <si>
    <t>629-62-9</t>
  </si>
  <si>
    <t>13360-61-7</t>
  </si>
  <si>
    <t>112-53-8</t>
  </si>
  <si>
    <t>209-784-0</t>
  </si>
  <si>
    <t>544-76-3</t>
  </si>
  <si>
    <t>629-73-2</t>
  </si>
  <si>
    <t>208-96-8</t>
  </si>
  <si>
    <t>6781-42-6</t>
  </si>
  <si>
    <t>112-66-3</t>
  </si>
  <si>
    <t>2345-27-9</t>
  </si>
  <si>
    <t>83-32-9</t>
  </si>
  <si>
    <t>629-78-7</t>
  </si>
  <si>
    <t>2345-28-0</t>
  </si>
  <si>
    <t>593-45-3</t>
  </si>
  <si>
    <t>86-73-7</t>
  </si>
  <si>
    <t>119-61-9</t>
  </si>
  <si>
    <t>629-92-5</t>
  </si>
  <si>
    <t>112-95-8</t>
  </si>
  <si>
    <t>85-01-8</t>
  </si>
  <si>
    <t>120-12-7</t>
  </si>
  <si>
    <t>84-74-2</t>
  </si>
  <si>
    <t>629-97-0</t>
  </si>
  <si>
    <t>206-44-0</t>
  </si>
  <si>
    <t>646-31-1</t>
  </si>
  <si>
    <t>129-00-0</t>
  </si>
  <si>
    <t>630-01-3</t>
  </si>
  <si>
    <t>119-47-1</t>
  </si>
  <si>
    <t>630-02-4</t>
  </si>
  <si>
    <t>56-55-3</t>
  </si>
  <si>
    <t>218-01-9</t>
  </si>
  <si>
    <t>638-68-6</t>
  </si>
  <si>
    <t>205-99-2</t>
  </si>
  <si>
    <t>207-08-9</t>
  </si>
  <si>
    <t>50-32-8</t>
  </si>
  <si>
    <t>556-67-2</t>
  </si>
  <si>
    <t>112-17-4</t>
  </si>
  <si>
    <t>13475-82-6</t>
  </si>
  <si>
    <t>100-42-5</t>
  </si>
  <si>
    <t>541-02-6</t>
  </si>
  <si>
    <t>98-86-2</t>
  </si>
  <si>
    <t>1014-60-4</t>
  </si>
  <si>
    <t>761-65-9</t>
  </si>
  <si>
    <t>124-17-4</t>
  </si>
  <si>
    <t>211-946-0</t>
  </si>
  <si>
    <t>87-41-2</t>
  </si>
  <si>
    <t>128-37-0</t>
  </si>
  <si>
    <t>96-76-4</t>
  </si>
  <si>
    <t>23676-09-7</t>
  </si>
  <si>
    <t>947-19-3</t>
  </si>
  <si>
    <t>80-39-7</t>
  </si>
  <si>
    <t>82304-66-3</t>
  </si>
  <si>
    <t>606-28-0</t>
  </si>
  <si>
    <t>141-02-6</t>
  </si>
  <si>
    <t>103-23-1</t>
  </si>
  <si>
    <t>117-81-7</t>
  </si>
  <si>
    <t>3896-11-5</t>
  </si>
  <si>
    <t>31570-04-4</t>
  </si>
  <si>
    <t>2082-79-3</t>
  </si>
  <si>
    <t>191-24-2</t>
  </si>
  <si>
    <t>RRF</t>
  </si>
  <si>
    <t>Name</t>
  </si>
  <si>
    <t>average</t>
  </si>
  <si>
    <t>CAS</t>
  </si>
  <si>
    <t>24650-42-8</t>
  </si>
  <si>
    <t>112-14-1</t>
  </si>
  <si>
    <t>143-08-8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</si>
</sst>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9575-3813-402D-9F9A-8BB139ED8E69}">
  <dimension ref="A1:H98"/>
  <sheetViews>
    <sheetView tabSelected="1" topLeftCell="A2" workbookViewId="0">
      <selection activeCell="H25" sqref="H25"/>
    </sheetView>
  </sheetViews>
  <sheetFormatPr defaultRowHeight="15" x14ac:dyDescent="0.25"/>
  <cols>
    <col min="1" max="1" width="20.140625" bestFit="1" customWidth="1"/>
    <col min="2" max="5" width="9.140625" style="3"/>
    <col min="6" max="7" width="9.140625" style="4"/>
    <col min="8" max="8" width="10.42578125" bestFit="1" customWidth="1"/>
  </cols>
  <sheetData>
    <row r="1" spans="1:8" x14ac:dyDescent="0.25">
      <c r="A1" t="s">
        <v>190</v>
      </c>
      <c r="B1" s="2">
        <v>1</v>
      </c>
      <c r="C1" s="2">
        <v>2</v>
      </c>
      <c r="D1" s="2">
        <v>3</v>
      </c>
      <c r="E1" s="2">
        <v>4</v>
      </c>
      <c r="F1" s="4" t="s">
        <v>191</v>
      </c>
      <c r="G1" s="4" t="s">
        <v>189</v>
      </c>
      <c r="H1" t="s">
        <v>192</v>
      </c>
    </row>
    <row r="2" spans="1:8" x14ac:dyDescent="0.25">
      <c r="A2" t="s">
        <v>0</v>
      </c>
      <c r="B2" s="3">
        <v>1.0580000000000001</v>
      </c>
      <c r="C2" s="3">
        <v>1.0389999999999999</v>
      </c>
      <c r="D2" s="3">
        <v>0.97499999999999998</v>
      </c>
      <c r="E2" s="3">
        <v>0.85899999999999999</v>
      </c>
      <c r="F2" s="4">
        <f>AVERAGE(B2:E2)</f>
        <v>0.98275000000000001</v>
      </c>
      <c r="G2" s="4">
        <f>IF(F2&lt;10, F2, F2/1000)</f>
        <v>0.98275000000000001</v>
      </c>
      <c r="H2" t="s">
        <v>97</v>
      </c>
    </row>
    <row r="3" spans="1:8" x14ac:dyDescent="0.25">
      <c r="A3" t="s">
        <v>1</v>
      </c>
      <c r="B3" s="3">
        <v>0.92200000000000004</v>
      </c>
      <c r="C3" s="3">
        <v>0.93600000000000005</v>
      </c>
      <c r="D3" s="3">
        <v>1.0069999999999999</v>
      </c>
      <c r="E3" s="3">
        <v>0.80700000000000005</v>
      </c>
      <c r="F3" s="4">
        <f t="shared" ref="F3:F41" si="0">AVERAGE(B3:E3)</f>
        <v>0.91800000000000004</v>
      </c>
      <c r="G3" s="4">
        <f t="shared" ref="G3:G41" si="1">IF(F3&lt;10, F3, F3/1000)</f>
        <v>0.91800000000000004</v>
      </c>
      <c r="H3" t="s">
        <v>98</v>
      </c>
    </row>
    <row r="4" spans="1:8" x14ac:dyDescent="0.25">
      <c r="A4" t="s">
        <v>2</v>
      </c>
      <c r="B4" s="3">
        <v>0.72599999999999998</v>
      </c>
      <c r="C4" s="3">
        <v>0.75900000000000001</v>
      </c>
      <c r="D4" s="3">
        <v>0.70799999999999996</v>
      </c>
      <c r="E4" s="3">
        <v>0.61799999999999999</v>
      </c>
      <c r="F4" s="4">
        <f t="shared" si="0"/>
        <v>0.70274999999999987</v>
      </c>
      <c r="G4" s="4">
        <f t="shared" si="1"/>
        <v>0.70274999999999987</v>
      </c>
      <c r="H4" t="s">
        <v>99</v>
      </c>
    </row>
    <row r="5" spans="1:8" x14ac:dyDescent="0.25">
      <c r="A5" t="s">
        <v>3</v>
      </c>
      <c r="B5" s="3">
        <v>0.68</v>
      </c>
      <c r="C5" s="3">
        <v>0.72099999999999997</v>
      </c>
      <c r="D5" s="3">
        <v>0.69499999999999995</v>
      </c>
      <c r="E5" s="3">
        <v>0.58499999999999996</v>
      </c>
      <c r="F5" s="4">
        <f t="shared" si="0"/>
        <v>0.67025000000000001</v>
      </c>
      <c r="G5" s="4">
        <f t="shared" si="1"/>
        <v>0.67025000000000001</v>
      </c>
      <c r="H5" t="s">
        <v>100</v>
      </c>
    </row>
    <row r="6" spans="1:8" x14ac:dyDescent="0.25">
      <c r="A6" t="s">
        <v>4</v>
      </c>
      <c r="B6" s="3">
        <v>0.78900000000000003</v>
      </c>
      <c r="C6" s="3">
        <v>0.80700000000000005</v>
      </c>
      <c r="D6" s="3">
        <v>0.878</v>
      </c>
      <c r="E6" s="3">
        <v>0.63300000000000001</v>
      </c>
      <c r="F6" s="4">
        <f t="shared" si="0"/>
        <v>0.77675000000000005</v>
      </c>
      <c r="G6" s="4">
        <f t="shared" si="1"/>
        <v>0.77675000000000005</v>
      </c>
      <c r="H6" t="s">
        <v>101</v>
      </c>
    </row>
    <row r="7" spans="1:8" x14ac:dyDescent="0.25">
      <c r="A7" t="s">
        <v>5</v>
      </c>
      <c r="B7" s="3">
        <v>1192</v>
      </c>
      <c r="C7" s="3">
        <v>1200</v>
      </c>
      <c r="D7" s="3">
        <v>1181</v>
      </c>
      <c r="E7" s="3">
        <v>1012</v>
      </c>
      <c r="F7" s="4">
        <f t="shared" si="0"/>
        <v>1146.25</v>
      </c>
      <c r="G7" s="4">
        <f t="shared" si="1"/>
        <v>1.14625</v>
      </c>
      <c r="H7" t="s">
        <v>102</v>
      </c>
    </row>
    <row r="8" spans="1:8" x14ac:dyDescent="0.25">
      <c r="A8" t="s">
        <v>6</v>
      </c>
      <c r="B8" s="3">
        <v>1.097</v>
      </c>
      <c r="C8" s="3">
        <v>1.1160000000000001</v>
      </c>
      <c r="D8" s="3">
        <v>1.08</v>
      </c>
      <c r="E8" s="3">
        <v>0.94499999999999995</v>
      </c>
      <c r="F8" s="4">
        <f t="shared" si="0"/>
        <v>1.0595000000000001</v>
      </c>
      <c r="G8" s="4">
        <f t="shared" si="1"/>
        <v>1.0595000000000001</v>
      </c>
      <c r="H8" t="s">
        <v>103</v>
      </c>
    </row>
    <row r="9" spans="1:8" x14ac:dyDescent="0.25">
      <c r="A9" t="s">
        <v>7</v>
      </c>
      <c r="B9" s="3">
        <v>0.85599999999999998</v>
      </c>
      <c r="C9" s="3">
        <v>0.875</v>
      </c>
      <c r="D9" s="3">
        <v>0.83099999999999996</v>
      </c>
      <c r="E9" s="3">
        <v>0.73799999999999999</v>
      </c>
      <c r="F9" s="4">
        <f t="shared" si="0"/>
        <v>0.82499999999999996</v>
      </c>
      <c r="G9" s="4">
        <f t="shared" si="1"/>
        <v>0.82499999999999996</v>
      </c>
      <c r="H9" t="s">
        <v>104</v>
      </c>
    </row>
    <row r="10" spans="1:8" x14ac:dyDescent="0.25">
      <c r="A10" t="s">
        <v>8</v>
      </c>
      <c r="B10" s="3">
        <v>1308</v>
      </c>
      <c r="C10" s="3">
        <v>1293</v>
      </c>
      <c r="D10" s="3">
        <v>1268</v>
      </c>
      <c r="E10" s="3">
        <v>1116</v>
      </c>
      <c r="F10" s="4">
        <f t="shared" si="0"/>
        <v>1246.25</v>
      </c>
      <c r="G10" s="4">
        <f t="shared" si="1"/>
        <v>1.2462500000000001</v>
      </c>
      <c r="H10" t="s">
        <v>105</v>
      </c>
    </row>
    <row r="11" spans="1:8" x14ac:dyDescent="0.25">
      <c r="A11" t="s">
        <v>9</v>
      </c>
      <c r="B11" s="3">
        <v>1224</v>
      </c>
      <c r="C11" s="3">
        <v>1223</v>
      </c>
      <c r="D11" s="3">
        <v>1186</v>
      </c>
      <c r="E11" s="3">
        <v>1059</v>
      </c>
      <c r="F11" s="4">
        <f t="shared" si="0"/>
        <v>1173</v>
      </c>
      <c r="G11" s="4">
        <f t="shared" si="1"/>
        <v>1.173</v>
      </c>
      <c r="H11" t="s">
        <v>106</v>
      </c>
    </row>
    <row r="12" spans="1:8" x14ac:dyDescent="0.25">
      <c r="A12" t="s">
        <v>10</v>
      </c>
      <c r="B12" s="3">
        <v>0.81899999999999995</v>
      </c>
      <c r="C12" s="3">
        <v>0.83699999999999997</v>
      </c>
      <c r="D12" s="3">
        <v>0.81100000000000005</v>
      </c>
      <c r="E12" s="3">
        <v>0.72299999999999998</v>
      </c>
      <c r="F12" s="4">
        <f t="shared" si="0"/>
        <v>0.79749999999999999</v>
      </c>
      <c r="G12" s="4">
        <f t="shared" si="1"/>
        <v>0.79749999999999999</v>
      </c>
      <c r="H12" t="s">
        <v>107</v>
      </c>
    </row>
    <row r="13" spans="1:8" x14ac:dyDescent="0.25">
      <c r="A13" t="s">
        <v>11</v>
      </c>
      <c r="B13" s="3">
        <v>0.94799999999999995</v>
      </c>
      <c r="C13" s="3">
        <v>0.97399999999999998</v>
      </c>
      <c r="D13" s="3">
        <v>0.91900000000000004</v>
      </c>
      <c r="E13" s="3">
        <v>0.83099999999999996</v>
      </c>
      <c r="F13" s="4">
        <f t="shared" si="0"/>
        <v>0.91800000000000004</v>
      </c>
      <c r="G13" s="4">
        <f t="shared" si="1"/>
        <v>0.91800000000000004</v>
      </c>
      <c r="H13" t="s">
        <v>108</v>
      </c>
    </row>
    <row r="14" spans="1:8" x14ac:dyDescent="0.25">
      <c r="A14" t="s">
        <v>12</v>
      </c>
      <c r="B14" s="3">
        <v>0.85499999999999998</v>
      </c>
      <c r="C14" s="3">
        <v>0.86199999999999999</v>
      </c>
      <c r="D14" s="3">
        <v>0.82899999999999996</v>
      </c>
      <c r="E14" s="3">
        <v>0.73599999999999999</v>
      </c>
      <c r="F14" s="4">
        <f t="shared" si="0"/>
        <v>0.82050000000000001</v>
      </c>
      <c r="G14" s="4">
        <f t="shared" si="1"/>
        <v>0.82050000000000001</v>
      </c>
      <c r="H14" t="s">
        <v>109</v>
      </c>
    </row>
    <row r="15" spans="1:8" x14ac:dyDescent="0.25">
      <c r="A15" t="s">
        <v>13</v>
      </c>
      <c r="B15" s="3">
        <v>1.0009999999999999</v>
      </c>
      <c r="C15" s="3">
        <v>1.004</v>
      </c>
      <c r="D15" s="3">
        <v>0.96499999999999997</v>
      </c>
      <c r="E15" s="3">
        <v>0.85399999999999998</v>
      </c>
      <c r="F15" s="4">
        <f t="shared" si="0"/>
        <v>0.95599999999999996</v>
      </c>
      <c r="G15" s="4">
        <f t="shared" si="1"/>
        <v>0.95599999999999996</v>
      </c>
      <c r="H15" t="s">
        <v>110</v>
      </c>
    </row>
    <row r="16" spans="1:8" x14ac:dyDescent="0.25">
      <c r="A16" t="s">
        <v>14</v>
      </c>
      <c r="B16" s="3">
        <v>1394</v>
      </c>
      <c r="C16" s="3">
        <v>1382</v>
      </c>
      <c r="D16" s="3">
        <v>1346</v>
      </c>
      <c r="E16" s="3">
        <v>1211</v>
      </c>
      <c r="F16" s="4">
        <f t="shared" si="0"/>
        <v>1333.25</v>
      </c>
      <c r="G16" s="4">
        <f t="shared" si="1"/>
        <v>1.33325</v>
      </c>
      <c r="H16" t="s">
        <v>111</v>
      </c>
    </row>
    <row r="17" spans="1:8" x14ac:dyDescent="0.25">
      <c r="A17" t="s">
        <v>15</v>
      </c>
      <c r="B17" s="3">
        <v>0.93700000000000006</v>
      </c>
      <c r="C17" s="3">
        <v>0.95899999999999996</v>
      </c>
      <c r="D17" s="3">
        <v>0.94199999999999995</v>
      </c>
      <c r="E17" s="3">
        <v>0.93899999999999995</v>
      </c>
      <c r="F17" s="4">
        <f t="shared" si="0"/>
        <v>0.94425000000000003</v>
      </c>
      <c r="G17" s="4">
        <f t="shared" si="1"/>
        <v>0.94425000000000003</v>
      </c>
      <c r="H17" t="s">
        <v>112</v>
      </c>
    </row>
    <row r="18" spans="1:8" x14ac:dyDescent="0.25">
      <c r="A18" t="s">
        <v>16</v>
      </c>
      <c r="B18" s="3">
        <v>1293</v>
      </c>
      <c r="C18" s="3">
        <v>1287</v>
      </c>
      <c r="D18" s="3">
        <v>1238</v>
      </c>
      <c r="E18" s="3">
        <v>1130</v>
      </c>
      <c r="F18" s="4">
        <f t="shared" si="0"/>
        <v>1237</v>
      </c>
      <c r="G18" s="4">
        <f t="shared" si="1"/>
        <v>1.2370000000000001</v>
      </c>
      <c r="H18" t="s">
        <v>113</v>
      </c>
    </row>
    <row r="19" spans="1:8" x14ac:dyDescent="0.25">
      <c r="A19" t="s">
        <v>17</v>
      </c>
      <c r="B19" s="3">
        <v>1.056</v>
      </c>
      <c r="C19" s="3">
        <v>1.048</v>
      </c>
      <c r="D19" s="3">
        <v>0.98499999999999999</v>
      </c>
      <c r="E19" s="3">
        <v>0.91100000000000003</v>
      </c>
      <c r="F19" s="4">
        <f t="shared" si="0"/>
        <v>1</v>
      </c>
      <c r="G19" s="4">
        <f t="shared" si="1"/>
        <v>1</v>
      </c>
      <c r="H19" t="s">
        <v>114</v>
      </c>
    </row>
    <row r="20" spans="1:8" x14ac:dyDescent="0.25">
      <c r="A20" t="s">
        <v>18</v>
      </c>
      <c r="B20" s="3">
        <v>0.97</v>
      </c>
      <c r="C20" s="3">
        <v>0.97299999999999998</v>
      </c>
      <c r="D20" s="3">
        <v>0.90900000000000003</v>
      </c>
      <c r="E20" s="3">
        <v>0.85899999999999999</v>
      </c>
      <c r="F20" s="4">
        <f t="shared" si="0"/>
        <v>0.92775000000000007</v>
      </c>
      <c r="G20" s="4">
        <f t="shared" si="1"/>
        <v>0.92775000000000007</v>
      </c>
      <c r="H20" t="s">
        <v>115</v>
      </c>
    </row>
    <row r="21" spans="1:8" x14ac:dyDescent="0.25">
      <c r="A21" t="s">
        <v>19</v>
      </c>
      <c r="B21" s="3">
        <v>1462</v>
      </c>
      <c r="C21" s="3">
        <v>1427</v>
      </c>
      <c r="D21" s="3">
        <v>1391</v>
      </c>
      <c r="E21" s="3">
        <v>1262</v>
      </c>
      <c r="F21" s="4">
        <f t="shared" si="0"/>
        <v>1385.5</v>
      </c>
      <c r="G21" s="4">
        <f t="shared" si="1"/>
        <v>1.3855</v>
      </c>
      <c r="H21" t="s">
        <v>116</v>
      </c>
    </row>
    <row r="22" spans="1:8" x14ac:dyDescent="0.25">
      <c r="A22" t="s">
        <v>20</v>
      </c>
      <c r="B22" s="3">
        <v>1385</v>
      </c>
      <c r="C22" s="3">
        <v>1362</v>
      </c>
      <c r="D22" s="3">
        <v>1310</v>
      </c>
      <c r="E22" s="3">
        <v>1216</v>
      </c>
      <c r="F22" s="4">
        <f t="shared" si="0"/>
        <v>1318.25</v>
      </c>
      <c r="G22" s="4">
        <f t="shared" si="1"/>
        <v>1.3182499999999999</v>
      </c>
      <c r="H22" t="s">
        <v>117</v>
      </c>
    </row>
    <row r="23" spans="1:8" x14ac:dyDescent="0.25">
      <c r="A23" t="s">
        <v>21</v>
      </c>
      <c r="B23" s="3">
        <v>1.1479999999999999</v>
      </c>
      <c r="C23" s="3">
        <v>1.1419999999999999</v>
      </c>
      <c r="D23" s="3">
        <v>1.0609999999999999</v>
      </c>
      <c r="E23" s="3">
        <v>0.99399999999999999</v>
      </c>
      <c r="F23" s="4">
        <f t="shared" si="0"/>
        <v>1.0862499999999999</v>
      </c>
      <c r="G23" s="4">
        <f t="shared" si="1"/>
        <v>1.0862499999999999</v>
      </c>
      <c r="H23" t="s">
        <v>118</v>
      </c>
    </row>
    <row r="24" spans="1:8" x14ac:dyDescent="0.25">
      <c r="A24" t="s">
        <v>22</v>
      </c>
      <c r="B24" s="3">
        <v>2813</v>
      </c>
      <c r="C24" s="3">
        <v>2969</v>
      </c>
      <c r="D24" s="3">
        <v>2685</v>
      </c>
      <c r="E24" s="3">
        <v>2688</v>
      </c>
      <c r="F24" s="4">
        <f t="shared" si="0"/>
        <v>2788.75</v>
      </c>
      <c r="G24" s="4">
        <f t="shared" si="1"/>
        <v>2.7887499999999998</v>
      </c>
      <c r="H24" t="s">
        <v>195</v>
      </c>
    </row>
    <row r="25" spans="1:8" x14ac:dyDescent="0.25">
      <c r="A25" t="s">
        <v>23</v>
      </c>
      <c r="B25" s="3">
        <v>1.1819999999999999</v>
      </c>
      <c r="C25" s="3">
        <v>1.177</v>
      </c>
      <c r="D25" s="3">
        <v>1.1140000000000001</v>
      </c>
      <c r="E25" s="3">
        <v>0.997</v>
      </c>
      <c r="F25" s="4">
        <f t="shared" si="0"/>
        <v>1.1174999999999999</v>
      </c>
      <c r="G25" s="4">
        <f t="shared" si="1"/>
        <v>1.1174999999999999</v>
      </c>
      <c r="H25" t="s">
        <v>194</v>
      </c>
    </row>
    <row r="26" spans="1:8" x14ac:dyDescent="0.25">
      <c r="A26" t="s">
        <v>24</v>
      </c>
      <c r="B26" s="3">
        <v>1.056</v>
      </c>
      <c r="C26" s="3">
        <v>1.0580000000000001</v>
      </c>
      <c r="D26" s="3">
        <v>0.96799999999999997</v>
      </c>
      <c r="E26" s="3">
        <v>0.94099999999999995</v>
      </c>
      <c r="F26" s="4">
        <f t="shared" si="0"/>
        <v>1.0057499999999999</v>
      </c>
      <c r="G26" s="4">
        <f t="shared" si="1"/>
        <v>1.0057499999999999</v>
      </c>
      <c r="H26" t="s">
        <v>119</v>
      </c>
    </row>
    <row r="27" spans="1:8" x14ac:dyDescent="0.25">
      <c r="A27" t="s">
        <v>25</v>
      </c>
      <c r="B27" s="3">
        <v>1501</v>
      </c>
      <c r="C27" s="3">
        <v>1467</v>
      </c>
      <c r="D27" s="3">
        <v>1422</v>
      </c>
      <c r="E27" s="3">
        <v>1311</v>
      </c>
      <c r="F27" s="4">
        <f t="shared" si="0"/>
        <v>1425.25</v>
      </c>
      <c r="G27" s="4">
        <f t="shared" si="1"/>
        <v>1.4252499999999999</v>
      </c>
      <c r="H27" t="s">
        <v>120</v>
      </c>
    </row>
    <row r="28" spans="1:8" x14ac:dyDescent="0.25">
      <c r="A28" t="s">
        <v>26</v>
      </c>
      <c r="B28" s="3">
        <v>1428</v>
      </c>
      <c r="C28" s="3">
        <v>1403</v>
      </c>
      <c r="D28" s="3">
        <v>1336</v>
      </c>
      <c r="E28" s="3">
        <v>1272</v>
      </c>
      <c r="F28" s="4">
        <f t="shared" si="0"/>
        <v>1359.75</v>
      </c>
      <c r="G28" s="4">
        <f t="shared" si="1"/>
        <v>1.35975</v>
      </c>
      <c r="H28" t="s">
        <v>121</v>
      </c>
    </row>
    <row r="29" spans="1:8" x14ac:dyDescent="0.25">
      <c r="A29" t="s">
        <v>27</v>
      </c>
      <c r="B29" s="3">
        <v>1576</v>
      </c>
      <c r="C29" s="3">
        <v>1557</v>
      </c>
      <c r="D29" s="3">
        <v>1551</v>
      </c>
      <c r="E29" s="3">
        <v>1583</v>
      </c>
      <c r="F29" s="4">
        <f t="shared" si="0"/>
        <v>1566.75</v>
      </c>
      <c r="G29" s="4">
        <f t="shared" si="1"/>
        <v>1.5667500000000001</v>
      </c>
      <c r="H29" t="s">
        <v>122</v>
      </c>
    </row>
    <row r="30" spans="1:8" x14ac:dyDescent="0.25">
      <c r="A30" t="s">
        <v>28</v>
      </c>
      <c r="B30" s="3">
        <v>2243</v>
      </c>
      <c r="C30" s="3">
        <v>2228</v>
      </c>
      <c r="D30" s="3">
        <v>1987</v>
      </c>
      <c r="E30" s="3">
        <v>2166</v>
      </c>
      <c r="F30" s="4">
        <f t="shared" si="0"/>
        <v>2156</v>
      </c>
      <c r="G30" s="4">
        <f t="shared" si="1"/>
        <v>2.1560000000000001</v>
      </c>
      <c r="H30" t="s">
        <v>123</v>
      </c>
    </row>
    <row r="31" spans="1:8" x14ac:dyDescent="0.25">
      <c r="A31" t="s">
        <v>29</v>
      </c>
      <c r="B31" s="3">
        <v>1199</v>
      </c>
      <c r="C31" s="3">
        <v>1134</v>
      </c>
      <c r="D31" s="3">
        <v>1088</v>
      </c>
      <c r="E31" s="3">
        <v>1039</v>
      </c>
      <c r="F31" s="4">
        <f t="shared" si="0"/>
        <v>1115</v>
      </c>
      <c r="G31" s="4">
        <f t="shared" si="1"/>
        <v>1.115</v>
      </c>
      <c r="H31" t="s">
        <v>124</v>
      </c>
    </row>
    <row r="32" spans="1:8" x14ac:dyDescent="0.25">
      <c r="A32" t="s">
        <v>30</v>
      </c>
      <c r="B32" s="3">
        <v>1597</v>
      </c>
      <c r="C32" s="3">
        <v>1556</v>
      </c>
      <c r="D32" s="3">
        <v>1502</v>
      </c>
      <c r="E32" s="3">
        <v>1407</v>
      </c>
      <c r="F32" s="4">
        <f t="shared" si="0"/>
        <v>1515.5</v>
      </c>
      <c r="G32" s="4">
        <f t="shared" si="1"/>
        <v>1.5155000000000001</v>
      </c>
      <c r="H32" t="s">
        <v>125</v>
      </c>
    </row>
    <row r="33" spans="1:8" x14ac:dyDescent="0.25">
      <c r="A33" t="s">
        <v>31</v>
      </c>
      <c r="B33" s="3">
        <v>1461</v>
      </c>
      <c r="C33" s="3">
        <v>1441</v>
      </c>
      <c r="D33" s="3">
        <v>1377</v>
      </c>
      <c r="E33" s="3">
        <v>1327</v>
      </c>
      <c r="F33" s="4">
        <f t="shared" si="0"/>
        <v>1401.5</v>
      </c>
      <c r="G33" s="4">
        <f t="shared" si="1"/>
        <v>1.4015</v>
      </c>
      <c r="H33" t="s">
        <v>125</v>
      </c>
    </row>
    <row r="34" spans="1:8" x14ac:dyDescent="0.25">
      <c r="A34" t="s">
        <v>32</v>
      </c>
      <c r="B34" s="3">
        <v>1039</v>
      </c>
      <c r="C34" s="3">
        <v>1020</v>
      </c>
      <c r="D34" s="3">
        <v>1007</v>
      </c>
      <c r="E34" s="3">
        <v>1036</v>
      </c>
      <c r="F34" s="4">
        <f t="shared" si="0"/>
        <v>1025.5</v>
      </c>
      <c r="G34" s="4">
        <f t="shared" si="1"/>
        <v>1.0255000000000001</v>
      </c>
      <c r="H34" t="s">
        <v>126</v>
      </c>
    </row>
    <row r="35" spans="1:8" x14ac:dyDescent="0.25">
      <c r="A35" t="s">
        <v>33</v>
      </c>
      <c r="B35" s="3">
        <v>1708</v>
      </c>
      <c r="C35" s="3">
        <v>1654</v>
      </c>
      <c r="D35" s="3">
        <v>1602</v>
      </c>
      <c r="E35" s="3">
        <v>1705</v>
      </c>
      <c r="F35" s="4">
        <f t="shared" si="0"/>
        <v>1667.25</v>
      </c>
      <c r="G35" s="4">
        <f t="shared" si="1"/>
        <v>1.6672499999999999</v>
      </c>
      <c r="H35" t="s">
        <v>127</v>
      </c>
    </row>
    <row r="36" spans="1:8" x14ac:dyDescent="0.25">
      <c r="A36" t="s">
        <v>34</v>
      </c>
      <c r="B36" s="3">
        <v>1729</v>
      </c>
      <c r="C36" s="3">
        <v>1672</v>
      </c>
      <c r="D36" s="3">
        <v>1615</v>
      </c>
      <c r="E36" s="3">
        <v>1712</v>
      </c>
      <c r="F36" s="4">
        <f t="shared" si="0"/>
        <v>1682</v>
      </c>
      <c r="G36" s="4">
        <f t="shared" si="1"/>
        <v>1.6819999999999999</v>
      </c>
      <c r="H36" t="s">
        <v>128</v>
      </c>
    </row>
    <row r="37" spans="1:8" x14ac:dyDescent="0.25">
      <c r="A37" t="s">
        <v>35</v>
      </c>
      <c r="B37" s="3">
        <v>1258</v>
      </c>
      <c r="C37" s="3">
        <v>1249</v>
      </c>
      <c r="D37" s="3">
        <v>1125</v>
      </c>
      <c r="E37" s="3">
        <v>1087</v>
      </c>
      <c r="F37" s="4">
        <f t="shared" si="0"/>
        <v>1179.75</v>
      </c>
      <c r="G37" s="4">
        <f t="shared" si="1"/>
        <v>1.1797500000000001</v>
      </c>
      <c r="H37" t="s">
        <v>118</v>
      </c>
    </row>
    <row r="38" spans="1:8" x14ac:dyDescent="0.25">
      <c r="A38" t="s">
        <v>36</v>
      </c>
      <c r="B38" s="3">
        <v>1286</v>
      </c>
      <c r="C38" s="3">
        <v>1281</v>
      </c>
      <c r="D38" s="3">
        <v>1201</v>
      </c>
      <c r="E38" s="3">
        <v>1110</v>
      </c>
      <c r="F38" s="4">
        <f t="shared" si="0"/>
        <v>1219.5</v>
      </c>
      <c r="G38" s="4">
        <f t="shared" si="1"/>
        <v>1.2195</v>
      </c>
      <c r="H38" t="s">
        <v>165</v>
      </c>
    </row>
    <row r="39" spans="1:8" x14ac:dyDescent="0.25">
      <c r="A39" t="s">
        <v>37</v>
      </c>
      <c r="B39" s="3">
        <v>2045</v>
      </c>
      <c r="C39" s="3">
        <v>2009</v>
      </c>
      <c r="D39" s="3">
        <v>1577</v>
      </c>
      <c r="E39" s="3">
        <v>1852</v>
      </c>
      <c r="F39" s="4">
        <f t="shared" si="0"/>
        <v>1870.75</v>
      </c>
      <c r="G39" s="4">
        <f t="shared" si="1"/>
        <v>1.8707499999999999</v>
      </c>
      <c r="H39" t="s">
        <v>164</v>
      </c>
    </row>
    <row r="40" spans="1:8" x14ac:dyDescent="0.25">
      <c r="A40" t="s">
        <v>38</v>
      </c>
      <c r="B40" s="3">
        <v>1522</v>
      </c>
      <c r="C40" s="3">
        <v>1545</v>
      </c>
      <c r="D40" s="3">
        <v>1518</v>
      </c>
      <c r="E40" s="3">
        <v>1322</v>
      </c>
      <c r="F40" s="4">
        <f t="shared" si="0"/>
        <v>1476.75</v>
      </c>
      <c r="G40" s="4">
        <f t="shared" si="1"/>
        <v>1.47675</v>
      </c>
      <c r="H40" t="s">
        <v>166</v>
      </c>
    </row>
    <row r="41" spans="1:8" x14ac:dyDescent="0.25">
      <c r="A41" t="s">
        <v>39</v>
      </c>
      <c r="B41" s="3">
        <v>1142</v>
      </c>
      <c r="C41" s="3">
        <v>1166</v>
      </c>
      <c r="D41" s="3">
        <v>1162</v>
      </c>
      <c r="E41" s="3">
        <v>1142</v>
      </c>
      <c r="F41" s="4">
        <f t="shared" si="0"/>
        <v>1153</v>
      </c>
      <c r="G41" s="4">
        <f t="shared" si="1"/>
        <v>1.153</v>
      </c>
      <c r="H41" t="s">
        <v>167</v>
      </c>
    </row>
    <row r="42" spans="1:8" x14ac:dyDescent="0.25">
      <c r="A42" t="s">
        <v>40</v>
      </c>
      <c r="B42" s="3">
        <v>1798</v>
      </c>
      <c r="C42" s="3">
        <v>1685</v>
      </c>
      <c r="D42" s="3">
        <v>1395</v>
      </c>
      <c r="E42" s="3">
        <v>1627</v>
      </c>
      <c r="F42" s="4">
        <f t="shared" ref="F42:F75" si="2">AVERAGE(B42:E42)</f>
        <v>1626.25</v>
      </c>
      <c r="G42" s="4">
        <f t="shared" ref="G42:G75" si="3">IF(F42&lt;10, F42, F42/1000)</f>
        <v>1.62625</v>
      </c>
      <c r="H42" t="s">
        <v>168</v>
      </c>
    </row>
    <row r="43" spans="1:8" x14ac:dyDescent="0.25">
      <c r="A43" t="s">
        <v>41</v>
      </c>
      <c r="B43" s="3">
        <v>1090</v>
      </c>
      <c r="C43" s="3">
        <v>1098</v>
      </c>
      <c r="D43" s="3">
        <v>1021</v>
      </c>
      <c r="E43" s="3">
        <v>1091</v>
      </c>
      <c r="F43" s="4">
        <f t="shared" si="2"/>
        <v>1075</v>
      </c>
      <c r="G43" s="4">
        <f t="shared" si="3"/>
        <v>1.075</v>
      </c>
      <c r="H43" t="s">
        <v>169</v>
      </c>
    </row>
    <row r="44" spans="1:8" x14ac:dyDescent="0.25">
      <c r="A44" t="s">
        <v>42</v>
      </c>
      <c r="B44" s="3">
        <v>1791</v>
      </c>
      <c r="C44" s="3">
        <v>1739</v>
      </c>
      <c r="D44" s="3">
        <v>1627</v>
      </c>
      <c r="E44" s="3">
        <v>1740</v>
      </c>
      <c r="F44" s="4">
        <f t="shared" si="2"/>
        <v>1724.25</v>
      </c>
      <c r="G44" s="4">
        <f t="shared" si="3"/>
        <v>1.7242500000000001</v>
      </c>
      <c r="H44" t="s">
        <v>170</v>
      </c>
    </row>
    <row r="45" spans="1:8" x14ac:dyDescent="0.25">
      <c r="A45" t="s">
        <v>43</v>
      </c>
      <c r="B45" s="3">
        <v>0.93300000000000005</v>
      </c>
      <c r="C45" s="3">
        <v>0.92700000000000005</v>
      </c>
      <c r="D45" s="3">
        <v>0.78100000000000003</v>
      </c>
      <c r="E45" s="3">
        <v>0.81399999999999995</v>
      </c>
      <c r="F45" s="4">
        <f t="shared" si="2"/>
        <v>0.86375000000000002</v>
      </c>
      <c r="G45" s="4">
        <f t="shared" si="3"/>
        <v>0.86375000000000002</v>
      </c>
      <c r="H45" t="s">
        <v>171</v>
      </c>
    </row>
    <row r="46" spans="1:8" x14ac:dyDescent="0.25">
      <c r="A46" t="s">
        <v>44</v>
      </c>
      <c r="B46" s="3">
        <v>2721</v>
      </c>
      <c r="C46" s="3">
        <v>2766</v>
      </c>
      <c r="D46" s="3">
        <v>2423</v>
      </c>
      <c r="E46" s="3">
        <v>2539</v>
      </c>
      <c r="F46" s="4">
        <f t="shared" si="2"/>
        <v>2612.25</v>
      </c>
      <c r="G46" s="4">
        <f t="shared" si="3"/>
        <v>2.61225</v>
      </c>
      <c r="H46" t="s">
        <v>132</v>
      </c>
    </row>
    <row r="47" spans="1:8" x14ac:dyDescent="0.25">
      <c r="A47" t="s">
        <v>45</v>
      </c>
      <c r="B47" s="3">
        <v>1324</v>
      </c>
      <c r="C47" s="3">
        <v>1319</v>
      </c>
      <c r="D47" s="3">
        <v>1165</v>
      </c>
      <c r="E47" s="3">
        <v>1140</v>
      </c>
      <c r="F47" s="4">
        <f t="shared" si="2"/>
        <v>1237</v>
      </c>
      <c r="G47" s="4">
        <f t="shared" si="3"/>
        <v>1.2370000000000001</v>
      </c>
      <c r="H47" t="s">
        <v>133</v>
      </c>
    </row>
    <row r="48" spans="1:8" x14ac:dyDescent="0.25">
      <c r="A48" t="s">
        <v>46</v>
      </c>
      <c r="B48" s="3">
        <v>1613</v>
      </c>
      <c r="C48" s="3">
        <v>1561</v>
      </c>
      <c r="D48" s="3">
        <v>1499</v>
      </c>
      <c r="E48" s="3">
        <v>1440</v>
      </c>
      <c r="F48" s="4">
        <f t="shared" si="2"/>
        <v>1528.25</v>
      </c>
      <c r="G48" s="4">
        <f t="shared" si="3"/>
        <v>1.5282500000000001</v>
      </c>
      <c r="H48" t="s">
        <v>134</v>
      </c>
    </row>
    <row r="49" spans="1:8" x14ac:dyDescent="0.25">
      <c r="A49" t="s">
        <v>47</v>
      </c>
      <c r="B49" s="3">
        <v>1569</v>
      </c>
      <c r="C49" s="3">
        <v>1534</v>
      </c>
      <c r="D49" s="3">
        <v>1432</v>
      </c>
      <c r="E49" s="3">
        <v>1422</v>
      </c>
      <c r="F49" s="4">
        <f t="shared" si="2"/>
        <v>1489.25</v>
      </c>
      <c r="G49" s="4">
        <f t="shared" si="3"/>
        <v>1.48925</v>
      </c>
      <c r="H49" t="s">
        <v>135</v>
      </c>
    </row>
    <row r="50" spans="1:8" x14ac:dyDescent="0.25">
      <c r="A50" t="s">
        <v>48</v>
      </c>
      <c r="B50" s="3">
        <v>1611</v>
      </c>
      <c r="C50" s="3">
        <v>1604</v>
      </c>
      <c r="D50" s="3">
        <v>1452</v>
      </c>
      <c r="E50" s="3">
        <v>1635</v>
      </c>
      <c r="F50" s="4">
        <f t="shared" si="2"/>
        <v>1575.5</v>
      </c>
      <c r="G50" s="4">
        <f t="shared" si="3"/>
        <v>1.5754999999999999</v>
      </c>
      <c r="H50" t="s">
        <v>136</v>
      </c>
    </row>
    <row r="51" spans="1:8" x14ac:dyDescent="0.25">
      <c r="A51" t="s">
        <v>49</v>
      </c>
      <c r="B51" s="3">
        <v>1.03</v>
      </c>
      <c r="C51" s="3">
        <v>1.0169999999999999</v>
      </c>
      <c r="D51" s="3">
        <v>0.84599999999999997</v>
      </c>
      <c r="E51" s="3">
        <v>0.93500000000000005</v>
      </c>
      <c r="F51" s="4">
        <f t="shared" si="2"/>
        <v>0.95699999999999996</v>
      </c>
      <c r="G51" s="4">
        <f t="shared" si="3"/>
        <v>0.95699999999999996</v>
      </c>
      <c r="H51" t="s">
        <v>137</v>
      </c>
    </row>
    <row r="52" spans="1:8" x14ac:dyDescent="0.25">
      <c r="A52" t="s">
        <v>50</v>
      </c>
      <c r="B52" s="3">
        <v>1353</v>
      </c>
      <c r="C52" s="3">
        <v>1348</v>
      </c>
      <c r="D52" s="3">
        <v>1202</v>
      </c>
      <c r="E52" s="3">
        <v>1181</v>
      </c>
      <c r="F52" s="4">
        <f t="shared" si="2"/>
        <v>1271</v>
      </c>
      <c r="G52" s="4">
        <f t="shared" si="3"/>
        <v>1.2709999999999999</v>
      </c>
      <c r="H52" t="s">
        <v>138</v>
      </c>
    </row>
    <row r="53" spans="1:8" x14ac:dyDescent="0.25">
      <c r="A53" t="s">
        <v>51</v>
      </c>
      <c r="B53" s="3">
        <v>1326</v>
      </c>
      <c r="C53" s="3">
        <v>1324</v>
      </c>
      <c r="D53" s="3">
        <v>1135</v>
      </c>
      <c r="E53" s="3">
        <v>1141</v>
      </c>
      <c r="F53" s="4">
        <f t="shared" si="2"/>
        <v>1231.5</v>
      </c>
      <c r="G53" s="4">
        <f t="shared" si="3"/>
        <v>1.2315</v>
      </c>
      <c r="H53" t="s">
        <v>139</v>
      </c>
    </row>
    <row r="54" spans="1:8" x14ac:dyDescent="0.25">
      <c r="A54" t="s">
        <v>52</v>
      </c>
      <c r="B54" s="3">
        <v>1936</v>
      </c>
      <c r="C54" s="3">
        <v>1860</v>
      </c>
      <c r="D54" s="3">
        <v>1748</v>
      </c>
      <c r="E54" s="3">
        <v>1923</v>
      </c>
      <c r="F54" s="4">
        <f t="shared" si="2"/>
        <v>1866.75</v>
      </c>
      <c r="G54" s="4">
        <f t="shared" si="3"/>
        <v>1.8667499999999999</v>
      </c>
      <c r="H54" t="s">
        <v>140</v>
      </c>
    </row>
    <row r="55" spans="1:8" x14ac:dyDescent="0.25">
      <c r="A55" t="s">
        <v>53</v>
      </c>
      <c r="B55" s="3">
        <v>1633</v>
      </c>
      <c r="C55" s="3">
        <v>1578</v>
      </c>
      <c r="D55" s="3">
        <v>1508</v>
      </c>
      <c r="E55" s="3">
        <v>1477</v>
      </c>
      <c r="F55" s="4">
        <f t="shared" si="2"/>
        <v>1549</v>
      </c>
      <c r="G55" s="4">
        <f t="shared" si="3"/>
        <v>1.5489999999999999</v>
      </c>
      <c r="H55" t="s">
        <v>141</v>
      </c>
    </row>
    <row r="56" spans="1:8" x14ac:dyDescent="0.25">
      <c r="A56" t="s">
        <v>54</v>
      </c>
      <c r="B56" s="3">
        <v>1331</v>
      </c>
      <c r="C56" s="3">
        <v>1317</v>
      </c>
      <c r="D56" s="3">
        <v>1112</v>
      </c>
      <c r="E56" s="3">
        <v>1135</v>
      </c>
      <c r="F56" s="4">
        <f t="shared" si="2"/>
        <v>1223.75</v>
      </c>
      <c r="G56" s="4">
        <f t="shared" si="3"/>
        <v>1.2237499999999999</v>
      </c>
      <c r="H56" t="s">
        <v>142</v>
      </c>
    </row>
    <row r="57" spans="1:8" x14ac:dyDescent="0.25">
      <c r="A57" t="s">
        <v>55</v>
      </c>
      <c r="B57" s="3">
        <v>1653</v>
      </c>
      <c r="C57" s="3">
        <v>1580</v>
      </c>
      <c r="D57" s="3">
        <v>1493</v>
      </c>
      <c r="E57" s="3">
        <v>1494</v>
      </c>
      <c r="F57" s="4">
        <f t="shared" si="2"/>
        <v>1555</v>
      </c>
      <c r="G57" s="4">
        <f t="shared" si="3"/>
        <v>1.5549999999999999</v>
      </c>
      <c r="H57" t="s">
        <v>143</v>
      </c>
    </row>
    <row r="58" spans="1:8" x14ac:dyDescent="0.25">
      <c r="A58" t="s">
        <v>56</v>
      </c>
      <c r="B58" s="3">
        <v>1862</v>
      </c>
      <c r="C58" s="3">
        <v>1756</v>
      </c>
      <c r="D58" s="3">
        <v>1586</v>
      </c>
      <c r="E58" s="3">
        <v>1807</v>
      </c>
      <c r="F58" s="4">
        <f t="shared" si="2"/>
        <v>1752.75</v>
      </c>
      <c r="G58" s="4">
        <f t="shared" si="3"/>
        <v>1.75275</v>
      </c>
      <c r="H58" t="s">
        <v>144</v>
      </c>
    </row>
    <row r="59" spans="1:8" x14ac:dyDescent="0.25">
      <c r="A59" t="s">
        <v>57</v>
      </c>
      <c r="B59" s="3">
        <v>1285</v>
      </c>
      <c r="C59" s="3">
        <v>1246</v>
      </c>
      <c r="D59" s="3">
        <v>1055</v>
      </c>
      <c r="E59" s="3">
        <v>1234</v>
      </c>
      <c r="F59" s="4">
        <f t="shared" si="2"/>
        <v>1205</v>
      </c>
      <c r="G59" s="4">
        <f t="shared" si="3"/>
        <v>1.2050000000000001</v>
      </c>
      <c r="H59" t="s">
        <v>145</v>
      </c>
    </row>
    <row r="60" spans="1:8" x14ac:dyDescent="0.25">
      <c r="A60" t="s">
        <v>58</v>
      </c>
      <c r="B60" s="3">
        <v>1643</v>
      </c>
      <c r="C60" s="3">
        <v>1568</v>
      </c>
      <c r="D60" s="3">
        <v>1454</v>
      </c>
      <c r="E60" s="3">
        <v>1497</v>
      </c>
      <c r="F60" s="4">
        <f t="shared" si="2"/>
        <v>1540.5</v>
      </c>
      <c r="G60" s="4">
        <f t="shared" si="3"/>
        <v>1.5405</v>
      </c>
      <c r="H60" t="s">
        <v>146</v>
      </c>
    </row>
    <row r="61" spans="1:8" x14ac:dyDescent="0.25">
      <c r="A61" t="s">
        <v>59</v>
      </c>
      <c r="B61" s="3">
        <v>1665</v>
      </c>
      <c r="C61" s="3">
        <v>1582</v>
      </c>
      <c r="D61" s="3">
        <v>1444</v>
      </c>
      <c r="E61" s="3">
        <v>1515</v>
      </c>
      <c r="F61" s="4">
        <f t="shared" si="2"/>
        <v>1551.5</v>
      </c>
      <c r="G61" s="4">
        <f t="shared" si="3"/>
        <v>1.5515000000000001</v>
      </c>
      <c r="H61" t="s">
        <v>147</v>
      </c>
    </row>
    <row r="62" spans="1:8" x14ac:dyDescent="0.25">
      <c r="A62" t="s">
        <v>60</v>
      </c>
      <c r="B62" s="3">
        <v>1944</v>
      </c>
      <c r="C62" s="3">
        <v>1849</v>
      </c>
      <c r="D62" s="3">
        <v>1671</v>
      </c>
      <c r="E62" s="3">
        <v>1892</v>
      </c>
      <c r="F62" s="4">
        <f t="shared" si="2"/>
        <v>1839</v>
      </c>
      <c r="G62" s="4">
        <f t="shared" si="3"/>
        <v>1.839</v>
      </c>
      <c r="H62" t="s">
        <v>148</v>
      </c>
    </row>
    <row r="63" spans="1:8" x14ac:dyDescent="0.25">
      <c r="A63" t="s">
        <v>61</v>
      </c>
      <c r="B63" s="3">
        <v>1824</v>
      </c>
      <c r="C63" s="3">
        <v>1752</v>
      </c>
      <c r="D63" s="3">
        <v>1498</v>
      </c>
      <c r="E63" s="3">
        <v>1719</v>
      </c>
      <c r="F63" s="4">
        <f t="shared" si="2"/>
        <v>1698.25</v>
      </c>
      <c r="G63" s="4">
        <f t="shared" si="3"/>
        <v>1.69825</v>
      </c>
      <c r="H63" t="s">
        <v>149</v>
      </c>
    </row>
    <row r="64" spans="1:8" x14ac:dyDescent="0.25">
      <c r="A64" t="s">
        <v>62</v>
      </c>
      <c r="B64" s="3">
        <v>1423</v>
      </c>
      <c r="C64" s="3">
        <v>1471</v>
      </c>
      <c r="D64" s="3">
        <v>1150</v>
      </c>
      <c r="E64" s="3">
        <v>1419</v>
      </c>
      <c r="F64" s="4">
        <f t="shared" si="2"/>
        <v>1365.75</v>
      </c>
      <c r="G64" s="4">
        <f t="shared" si="3"/>
        <v>1.36575</v>
      </c>
      <c r="H64" t="s">
        <v>150</v>
      </c>
    </row>
    <row r="65" spans="1:8" x14ac:dyDescent="0.25">
      <c r="A65" t="s">
        <v>63</v>
      </c>
      <c r="B65" s="3">
        <v>1531</v>
      </c>
      <c r="C65" s="3">
        <v>1508</v>
      </c>
      <c r="D65" s="3">
        <v>1318</v>
      </c>
      <c r="E65" s="3">
        <v>1447</v>
      </c>
      <c r="F65" s="4">
        <f t="shared" si="2"/>
        <v>1451</v>
      </c>
      <c r="G65" s="4">
        <f t="shared" si="3"/>
        <v>1.4510000000000001</v>
      </c>
      <c r="H65" t="s">
        <v>151</v>
      </c>
    </row>
    <row r="66" spans="1:8" x14ac:dyDescent="0.25">
      <c r="A66" t="s">
        <v>64</v>
      </c>
      <c r="B66" s="3">
        <v>2042</v>
      </c>
      <c r="C66" s="3">
        <v>2003</v>
      </c>
      <c r="D66" s="3">
        <v>1684</v>
      </c>
      <c r="E66" s="3">
        <v>2000</v>
      </c>
      <c r="F66" s="4">
        <f t="shared" si="2"/>
        <v>1932.25</v>
      </c>
      <c r="G66" s="4">
        <f t="shared" si="3"/>
        <v>1.93225</v>
      </c>
      <c r="H66" t="s">
        <v>152</v>
      </c>
    </row>
    <row r="67" spans="1:8" x14ac:dyDescent="0.25">
      <c r="A67" t="s">
        <v>65</v>
      </c>
      <c r="B67" s="3">
        <v>1545</v>
      </c>
      <c r="C67" s="3">
        <v>1457</v>
      </c>
      <c r="D67" s="3">
        <v>1241</v>
      </c>
      <c r="E67" s="3">
        <v>1399</v>
      </c>
      <c r="F67" s="4">
        <f t="shared" si="2"/>
        <v>1410.5</v>
      </c>
      <c r="G67" s="4">
        <f t="shared" si="3"/>
        <v>1.4105000000000001</v>
      </c>
      <c r="H67" t="s">
        <v>153</v>
      </c>
    </row>
    <row r="68" spans="1:8" x14ac:dyDescent="0.25">
      <c r="A68" t="s">
        <v>66</v>
      </c>
      <c r="B68" s="3">
        <v>2489</v>
      </c>
      <c r="C68" s="3">
        <v>2451</v>
      </c>
      <c r="D68" s="3">
        <v>2013</v>
      </c>
      <c r="E68" s="3">
        <v>2396</v>
      </c>
      <c r="F68" s="4">
        <f t="shared" si="2"/>
        <v>2337.25</v>
      </c>
      <c r="G68" s="4">
        <f t="shared" si="3"/>
        <v>2.33725</v>
      </c>
      <c r="H68" t="s">
        <v>154</v>
      </c>
    </row>
    <row r="69" spans="1:8" x14ac:dyDescent="0.25">
      <c r="A69" t="s">
        <v>67</v>
      </c>
      <c r="B69" s="3">
        <v>1463</v>
      </c>
      <c r="C69" s="3">
        <v>1386</v>
      </c>
      <c r="D69" s="3">
        <v>1119</v>
      </c>
      <c r="E69" s="3">
        <v>1306</v>
      </c>
      <c r="F69" s="4">
        <f t="shared" si="2"/>
        <v>1318.5</v>
      </c>
      <c r="G69" s="4">
        <f t="shared" si="3"/>
        <v>1.3185</v>
      </c>
      <c r="H69" t="s">
        <v>155</v>
      </c>
    </row>
    <row r="70" spans="1:8" x14ac:dyDescent="0.25">
      <c r="A70" t="s">
        <v>68</v>
      </c>
      <c r="B70" s="3">
        <v>1.214</v>
      </c>
      <c r="C70" s="3">
        <v>1.0149999999999999</v>
      </c>
      <c r="D70" s="3">
        <v>0.59199999999999997</v>
      </c>
      <c r="E70" s="3">
        <v>1.0289999999999999</v>
      </c>
      <c r="F70" s="4">
        <f t="shared" si="2"/>
        <v>0.96250000000000002</v>
      </c>
      <c r="G70" s="4">
        <f t="shared" si="3"/>
        <v>0.96250000000000002</v>
      </c>
      <c r="H70" t="s">
        <v>156</v>
      </c>
    </row>
    <row r="71" spans="1:8" x14ac:dyDescent="0.25">
      <c r="A71" t="s">
        <v>69</v>
      </c>
      <c r="B71" s="3">
        <v>1.3140000000000001</v>
      </c>
      <c r="C71" s="3">
        <v>1.27</v>
      </c>
      <c r="D71" s="3">
        <v>0.95699999999999996</v>
      </c>
      <c r="E71" s="3">
        <v>1.17</v>
      </c>
      <c r="F71" s="4">
        <f t="shared" si="2"/>
        <v>1.1777500000000001</v>
      </c>
      <c r="G71" s="4">
        <f t="shared" si="3"/>
        <v>1.1777500000000001</v>
      </c>
      <c r="H71" t="s">
        <v>157</v>
      </c>
    </row>
    <row r="72" spans="1:8" x14ac:dyDescent="0.25">
      <c r="A72" t="s">
        <v>70</v>
      </c>
      <c r="B72" s="3">
        <v>1939</v>
      </c>
      <c r="C72" s="3">
        <v>1836</v>
      </c>
      <c r="D72" s="3">
        <v>1299</v>
      </c>
      <c r="E72" s="3">
        <v>1610</v>
      </c>
      <c r="F72" s="4">
        <f t="shared" si="2"/>
        <v>1671</v>
      </c>
      <c r="G72" s="4">
        <f t="shared" si="3"/>
        <v>1.671</v>
      </c>
      <c r="H72" t="s">
        <v>158</v>
      </c>
    </row>
    <row r="73" spans="1:8" x14ac:dyDescent="0.25">
      <c r="A73" t="s">
        <v>71</v>
      </c>
      <c r="B73" s="3">
        <v>1.111</v>
      </c>
      <c r="C73" s="3">
        <v>1.1080000000000001</v>
      </c>
      <c r="D73" s="3">
        <v>0.96799999999999997</v>
      </c>
      <c r="E73" s="3">
        <v>0.99299999999999999</v>
      </c>
      <c r="F73" s="4">
        <f t="shared" si="2"/>
        <v>1.0450000000000002</v>
      </c>
      <c r="G73" s="4">
        <f t="shared" si="3"/>
        <v>1.0450000000000002</v>
      </c>
      <c r="H73" t="s">
        <v>129</v>
      </c>
    </row>
    <row r="74" spans="1:8" x14ac:dyDescent="0.25">
      <c r="A74" t="s">
        <v>72</v>
      </c>
      <c r="B74" s="3">
        <v>1588</v>
      </c>
      <c r="C74" s="3">
        <v>1544</v>
      </c>
      <c r="D74" s="3">
        <v>1494</v>
      </c>
      <c r="E74" s="3">
        <v>1394</v>
      </c>
      <c r="F74" s="4">
        <f t="shared" si="2"/>
        <v>1505</v>
      </c>
      <c r="G74" s="4">
        <f t="shared" si="3"/>
        <v>1.5049999999999999</v>
      </c>
      <c r="H74" t="s">
        <v>130</v>
      </c>
    </row>
    <row r="75" spans="1:8" x14ac:dyDescent="0.25">
      <c r="A75" t="s">
        <v>73</v>
      </c>
      <c r="B75" s="3">
        <v>1406</v>
      </c>
      <c r="C75" s="3">
        <v>1380</v>
      </c>
      <c r="D75" s="3">
        <v>1294</v>
      </c>
      <c r="E75" s="3">
        <v>1266</v>
      </c>
      <c r="F75" s="4">
        <f t="shared" si="2"/>
        <v>1336.5</v>
      </c>
      <c r="G75" s="4">
        <f t="shared" si="3"/>
        <v>1.3365</v>
      </c>
      <c r="H75" t="s">
        <v>131</v>
      </c>
    </row>
    <row r="76" spans="1:8" x14ac:dyDescent="0.25">
      <c r="A76" t="s">
        <v>74</v>
      </c>
      <c r="B76" s="3">
        <v>1.046</v>
      </c>
      <c r="C76" s="3">
        <v>1.0589999999999999</v>
      </c>
      <c r="D76" s="3">
        <v>0.91400000000000003</v>
      </c>
      <c r="E76" s="3">
        <v>0.85699999999999998</v>
      </c>
      <c r="F76" s="4">
        <f t="shared" ref="F76:F98" si="4">AVERAGE(B76:E76)</f>
        <v>0.96900000000000008</v>
      </c>
      <c r="G76" s="4">
        <f t="shared" ref="G76:G98" si="5">IF(F76&lt;10, F76, F76/1000)</f>
        <v>0.96900000000000008</v>
      </c>
      <c r="H76" t="s">
        <v>172</v>
      </c>
    </row>
    <row r="77" spans="1:8" x14ac:dyDescent="0.25">
      <c r="A77" t="s">
        <v>75</v>
      </c>
      <c r="B77" s="3">
        <v>0.81200000000000006</v>
      </c>
      <c r="C77" s="3">
        <v>0.80800000000000005</v>
      </c>
      <c r="D77" s="3">
        <v>0.47099999999999997</v>
      </c>
      <c r="E77" s="3">
        <v>0.77600000000000002</v>
      </c>
      <c r="F77" s="4">
        <f t="shared" si="4"/>
        <v>0.71675</v>
      </c>
      <c r="G77" s="4">
        <f t="shared" si="5"/>
        <v>0.71675</v>
      </c>
      <c r="H77" t="s">
        <v>173</v>
      </c>
    </row>
    <row r="78" spans="1:8" x14ac:dyDescent="0.25">
      <c r="A78" t="s">
        <v>76</v>
      </c>
      <c r="B78" s="3">
        <v>0.91100000000000003</v>
      </c>
      <c r="C78" s="3">
        <v>0.91200000000000003</v>
      </c>
      <c r="D78" s="3">
        <v>0.85599999999999998</v>
      </c>
      <c r="E78" s="3">
        <v>0.876</v>
      </c>
      <c r="F78" s="4">
        <f t="shared" si="4"/>
        <v>0.88874999999999993</v>
      </c>
      <c r="G78" s="4">
        <f t="shared" si="5"/>
        <v>0.88874999999999993</v>
      </c>
      <c r="H78" t="s">
        <v>174</v>
      </c>
    </row>
    <row r="79" spans="1:8" x14ac:dyDescent="0.25">
      <c r="A79" t="s">
        <v>77</v>
      </c>
      <c r="B79" s="3">
        <v>1583</v>
      </c>
      <c r="C79" s="3">
        <v>1418</v>
      </c>
      <c r="D79" s="3">
        <v>1306</v>
      </c>
      <c r="E79" s="3">
        <v>1506</v>
      </c>
      <c r="F79" s="4">
        <f t="shared" si="4"/>
        <v>1453.25</v>
      </c>
      <c r="G79" s="4">
        <f t="shared" si="5"/>
        <v>1.4532499999999999</v>
      </c>
      <c r="H79" t="s">
        <v>175</v>
      </c>
    </row>
    <row r="80" spans="1:8" x14ac:dyDescent="0.25">
      <c r="A80" t="s">
        <v>78</v>
      </c>
      <c r="B80" s="3">
        <v>1592</v>
      </c>
      <c r="C80" s="3">
        <v>1545</v>
      </c>
      <c r="D80" s="3">
        <v>1305</v>
      </c>
      <c r="E80" s="3">
        <v>1580</v>
      </c>
      <c r="F80" s="4">
        <f t="shared" si="4"/>
        <v>1505.5</v>
      </c>
      <c r="G80" s="4">
        <f t="shared" si="5"/>
        <v>1.5055000000000001</v>
      </c>
      <c r="H80" t="s">
        <v>176</v>
      </c>
    </row>
    <row r="81" spans="1:8" x14ac:dyDescent="0.25">
      <c r="A81" t="s">
        <v>79</v>
      </c>
      <c r="B81" s="3">
        <v>1271</v>
      </c>
      <c r="C81" s="3">
        <v>1241</v>
      </c>
      <c r="D81" s="3">
        <v>1132</v>
      </c>
      <c r="E81" s="3">
        <v>1225</v>
      </c>
      <c r="F81" s="4">
        <f t="shared" si="4"/>
        <v>1217.25</v>
      </c>
      <c r="G81" s="4">
        <f t="shared" si="5"/>
        <v>1.2172499999999999</v>
      </c>
      <c r="H81" t="s">
        <v>177</v>
      </c>
    </row>
    <row r="82" spans="1:8" x14ac:dyDescent="0.25">
      <c r="A82" t="s">
        <v>80</v>
      </c>
      <c r="B82" s="3">
        <v>1.01</v>
      </c>
      <c r="C82" s="3">
        <v>1.0289999999999999</v>
      </c>
      <c r="D82" s="3">
        <v>0.83799999999999997</v>
      </c>
      <c r="E82" s="3">
        <v>0.93899999999999995</v>
      </c>
      <c r="F82" s="4">
        <f t="shared" si="4"/>
        <v>0.95399999999999996</v>
      </c>
      <c r="G82" s="4">
        <f t="shared" si="5"/>
        <v>0.95399999999999996</v>
      </c>
      <c r="H82" t="s">
        <v>178</v>
      </c>
    </row>
    <row r="83" spans="1:8" x14ac:dyDescent="0.25">
      <c r="A83" t="s">
        <v>81</v>
      </c>
      <c r="B83" s="3">
        <v>1.103</v>
      </c>
      <c r="C83" s="3">
        <v>1.089</v>
      </c>
      <c r="D83" s="3">
        <v>0.83699999999999997</v>
      </c>
      <c r="E83" s="3">
        <v>0.99099999999999999</v>
      </c>
      <c r="F83" s="4">
        <f t="shared" si="4"/>
        <v>1.0049999999999999</v>
      </c>
      <c r="G83" s="4">
        <f t="shared" si="5"/>
        <v>1.0049999999999999</v>
      </c>
      <c r="H83" t="s">
        <v>179</v>
      </c>
    </row>
    <row r="84" spans="1:8" x14ac:dyDescent="0.25">
      <c r="A84" t="s">
        <v>82</v>
      </c>
      <c r="B84" s="3">
        <v>0.83299999999999996</v>
      </c>
      <c r="C84" s="3">
        <v>0.73099999999999998</v>
      </c>
      <c r="D84" s="3">
        <v>0.32100000000000001</v>
      </c>
      <c r="E84" s="3">
        <v>0.61599999999999999</v>
      </c>
      <c r="F84" s="4">
        <f t="shared" si="4"/>
        <v>0.62524999999999997</v>
      </c>
      <c r="G84" s="4">
        <f t="shared" si="5"/>
        <v>0.62524999999999997</v>
      </c>
      <c r="H84" t="s">
        <v>180</v>
      </c>
    </row>
    <row r="85" spans="1:8" x14ac:dyDescent="0.25">
      <c r="A85" t="s">
        <v>83</v>
      </c>
      <c r="B85" s="3">
        <v>1.34</v>
      </c>
      <c r="C85" s="3">
        <v>1.228</v>
      </c>
      <c r="D85" s="3">
        <v>0.94699999999999995</v>
      </c>
      <c r="E85" s="3">
        <v>1.214</v>
      </c>
      <c r="F85" s="4">
        <f t="shared" si="4"/>
        <v>1.18225</v>
      </c>
      <c r="G85" s="4">
        <f t="shared" si="5"/>
        <v>1.18225</v>
      </c>
      <c r="H85" t="s">
        <v>193</v>
      </c>
    </row>
    <row r="86" spans="1:8" x14ac:dyDescent="0.25">
      <c r="A86" t="s">
        <v>84</v>
      </c>
      <c r="B86" s="3">
        <v>1.383</v>
      </c>
      <c r="C86" s="3">
        <v>1.2709999999999999</v>
      </c>
      <c r="D86" s="3">
        <v>0.98799999999999999</v>
      </c>
      <c r="E86" s="3">
        <v>1.262</v>
      </c>
      <c r="F86" s="4">
        <f t="shared" si="4"/>
        <v>1.226</v>
      </c>
      <c r="G86" s="4">
        <f t="shared" si="5"/>
        <v>1.226</v>
      </c>
      <c r="H86" t="s">
        <v>181</v>
      </c>
    </row>
    <row r="87" spans="1:8" x14ac:dyDescent="0.25">
      <c r="A87" t="s">
        <v>85</v>
      </c>
      <c r="B87" s="3">
        <v>1.087</v>
      </c>
      <c r="C87" s="3">
        <v>1.048</v>
      </c>
      <c r="D87" s="3">
        <v>0.623</v>
      </c>
      <c r="E87" s="3">
        <v>0.85</v>
      </c>
      <c r="F87" s="4">
        <f t="shared" si="4"/>
        <v>0.90200000000000002</v>
      </c>
      <c r="G87" s="4">
        <f t="shared" si="5"/>
        <v>0.90200000000000002</v>
      </c>
      <c r="H87" t="s">
        <v>182</v>
      </c>
    </row>
    <row r="88" spans="1:8" x14ac:dyDescent="0.25">
      <c r="A88" t="s">
        <v>86</v>
      </c>
      <c r="B88" s="3">
        <v>1.3029999999999999</v>
      </c>
      <c r="C88" s="3">
        <v>1.351</v>
      </c>
      <c r="D88" s="3">
        <v>0.80900000000000005</v>
      </c>
      <c r="E88" s="3">
        <v>1.125</v>
      </c>
      <c r="F88" s="4">
        <f t="shared" si="4"/>
        <v>1.147</v>
      </c>
      <c r="G88" s="4">
        <f t="shared" si="5"/>
        <v>1.147</v>
      </c>
      <c r="H88" t="s">
        <v>183</v>
      </c>
    </row>
    <row r="89" spans="1:8" x14ac:dyDescent="0.25">
      <c r="A89" t="s">
        <v>87</v>
      </c>
      <c r="B89" s="3">
        <v>1.472</v>
      </c>
      <c r="C89" s="3">
        <v>1.381</v>
      </c>
      <c r="D89" s="3">
        <v>0.77800000000000002</v>
      </c>
      <c r="E89" s="3">
        <v>1.077</v>
      </c>
      <c r="F89" s="4">
        <f t="shared" si="4"/>
        <v>1.177</v>
      </c>
      <c r="G89" s="4">
        <f t="shared" si="5"/>
        <v>1.177</v>
      </c>
      <c r="H89" t="s">
        <v>184</v>
      </c>
    </row>
    <row r="90" spans="1:8" x14ac:dyDescent="0.25">
      <c r="A90" t="s">
        <v>88</v>
      </c>
      <c r="B90" s="3">
        <v>1.296</v>
      </c>
      <c r="C90" s="3">
        <v>1.226</v>
      </c>
      <c r="D90" s="3">
        <v>0.68100000000000005</v>
      </c>
      <c r="E90" s="3">
        <v>1.022</v>
      </c>
      <c r="F90" s="4">
        <f t="shared" si="4"/>
        <v>1.0562500000000001</v>
      </c>
      <c r="G90" s="4">
        <f t="shared" si="5"/>
        <v>1.0562500000000001</v>
      </c>
      <c r="H90" s="1" t="s">
        <v>185</v>
      </c>
    </row>
    <row r="91" spans="1:8" x14ac:dyDescent="0.25">
      <c r="A91" t="s">
        <v>89</v>
      </c>
      <c r="B91" s="3">
        <v>1941</v>
      </c>
      <c r="C91" s="3">
        <v>1912</v>
      </c>
      <c r="D91" s="3">
        <v>1403</v>
      </c>
      <c r="E91" s="3">
        <v>1677</v>
      </c>
      <c r="F91" s="4">
        <f t="shared" si="4"/>
        <v>1733.25</v>
      </c>
      <c r="G91" s="4">
        <f t="shared" si="5"/>
        <v>1.73325</v>
      </c>
      <c r="H91" t="s">
        <v>159</v>
      </c>
    </row>
    <row r="92" spans="1:8" x14ac:dyDescent="0.25">
      <c r="A92" t="s">
        <v>90</v>
      </c>
      <c r="B92" s="3">
        <v>1.2310000000000001</v>
      </c>
      <c r="C92" s="3">
        <v>1.0289999999999999</v>
      </c>
      <c r="D92" s="3">
        <v>0.751</v>
      </c>
      <c r="E92" s="3">
        <v>1.012</v>
      </c>
      <c r="F92" s="4">
        <f t="shared" si="4"/>
        <v>1.0057499999999999</v>
      </c>
      <c r="G92" s="4">
        <f t="shared" si="5"/>
        <v>1.0057499999999999</v>
      </c>
      <c r="H92" t="s">
        <v>160</v>
      </c>
    </row>
    <row r="93" spans="1:8" x14ac:dyDescent="0.25">
      <c r="A93" t="s">
        <v>91</v>
      </c>
      <c r="B93" s="3">
        <v>1867</v>
      </c>
      <c r="C93" s="3">
        <v>1763</v>
      </c>
      <c r="D93" s="3">
        <v>1146</v>
      </c>
      <c r="E93" s="3">
        <v>1504</v>
      </c>
      <c r="F93" s="4">
        <f t="shared" si="4"/>
        <v>1570</v>
      </c>
      <c r="G93" s="4">
        <f t="shared" si="5"/>
        <v>1.57</v>
      </c>
      <c r="H93" t="s">
        <v>161</v>
      </c>
    </row>
    <row r="94" spans="1:8" x14ac:dyDescent="0.25">
      <c r="A94" t="s">
        <v>92</v>
      </c>
      <c r="B94" s="3">
        <v>1795</v>
      </c>
      <c r="C94" s="3">
        <v>1673</v>
      </c>
      <c r="D94" s="3">
        <v>1121</v>
      </c>
      <c r="E94" s="3">
        <v>1460</v>
      </c>
      <c r="F94" s="4">
        <f t="shared" si="4"/>
        <v>1512.25</v>
      </c>
      <c r="G94" s="4">
        <f t="shared" si="5"/>
        <v>1.5122500000000001</v>
      </c>
      <c r="H94" t="s">
        <v>162</v>
      </c>
    </row>
    <row r="95" spans="1:8" x14ac:dyDescent="0.25">
      <c r="A95" t="s">
        <v>93</v>
      </c>
      <c r="B95" s="3">
        <v>1698</v>
      </c>
      <c r="C95" s="3">
        <v>1610</v>
      </c>
      <c r="D95" s="3">
        <v>1013</v>
      </c>
      <c r="E95" s="3">
        <v>1357</v>
      </c>
      <c r="F95" s="4">
        <f t="shared" si="4"/>
        <v>1419.5</v>
      </c>
      <c r="G95" s="4">
        <f t="shared" si="5"/>
        <v>1.4195</v>
      </c>
      <c r="H95" t="s">
        <v>163</v>
      </c>
    </row>
    <row r="96" spans="1:8" x14ac:dyDescent="0.25">
      <c r="A96" t="s">
        <v>94</v>
      </c>
      <c r="B96" s="3">
        <v>0.94399999999999995</v>
      </c>
      <c r="C96" s="3">
        <v>0.92600000000000005</v>
      </c>
      <c r="D96" s="3">
        <v>0.372</v>
      </c>
      <c r="E96" s="3">
        <v>0.626</v>
      </c>
      <c r="F96" s="4">
        <f t="shared" si="4"/>
        <v>0.71699999999999997</v>
      </c>
      <c r="G96" s="4">
        <f t="shared" si="5"/>
        <v>0.71699999999999997</v>
      </c>
      <c r="H96" t="s">
        <v>186</v>
      </c>
    </row>
    <row r="97" spans="1:8" x14ac:dyDescent="0.25">
      <c r="A97" t="s">
        <v>95</v>
      </c>
      <c r="B97" s="3">
        <v>0.40600000000000003</v>
      </c>
      <c r="C97" s="3">
        <v>0.307</v>
      </c>
      <c r="D97" s="3">
        <v>0.153</v>
      </c>
      <c r="E97" s="3">
        <v>0.22</v>
      </c>
      <c r="F97" s="4">
        <f t="shared" si="4"/>
        <v>0.27150000000000002</v>
      </c>
      <c r="G97" s="4">
        <f t="shared" si="5"/>
        <v>0.27150000000000002</v>
      </c>
      <c r="H97" t="s">
        <v>187</v>
      </c>
    </row>
    <row r="98" spans="1:8" x14ac:dyDescent="0.25">
      <c r="A98" t="s">
        <v>96</v>
      </c>
      <c r="B98" s="3">
        <v>1.486</v>
      </c>
      <c r="C98" s="3">
        <v>1.462</v>
      </c>
      <c r="D98" s="3">
        <v>0.91200000000000003</v>
      </c>
      <c r="E98" s="3">
        <v>1.25</v>
      </c>
      <c r="F98" s="4">
        <f t="shared" si="4"/>
        <v>1.2774999999999999</v>
      </c>
      <c r="G98" s="4">
        <f t="shared" si="5"/>
        <v>1.2774999999999999</v>
      </c>
      <c r="H9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Y.</dc:creator>
  <cp:lastModifiedBy>Sophie Y.</cp:lastModifiedBy>
  <dcterms:created xsi:type="dcterms:W3CDTF">2026-01-10T17:26:15Z</dcterms:created>
  <dcterms:modified xsi:type="dcterms:W3CDTF">2026-01-10T19:11:15Z</dcterms:modified>
</cp:coreProperties>
</file>